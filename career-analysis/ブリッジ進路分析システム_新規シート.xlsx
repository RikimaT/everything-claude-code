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学校補正マスタ" sheetId="1" state="visible" r:id="rId1"/>
    <sheet name="換算マスタ" sheetId="2" state="visible" r:id="rId2"/>
    <sheet name="テスト点数入力＆進学先予測" sheetId="3" state="visible" r:id="rId3"/>
    <sheet name="OCR読取デ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  <font>
      <name val="Meiryo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FE2F3"/>
          <bgColor rgb="00CFE2F3"/>
        </patternFill>
      </fill>
    </dxf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5CD"/>
          <bgColor rgb="00FCE5CD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</cols>
  <sheetData>
    <row r="1">
      <c r="A1" s="1" t="inlineStr">
        <is>
          <t>中学校名</t>
        </is>
      </c>
      <c r="B1" s="1" t="inlineStr">
        <is>
          <t>補正係数</t>
        </is>
      </c>
      <c r="C1" s="1" t="inlineStr">
        <is>
          <t>根拠・メモ</t>
        </is>
      </c>
    </row>
    <row r="2">
      <c r="A2" s="2" t="inlineStr">
        <is>
          <t>稲枝中</t>
        </is>
      </c>
      <c r="B2" s="3" t="n">
        <v>1</v>
      </c>
      <c r="C2" s="2" t="inlineStr">
        <is>
          <t>基準校</t>
        </is>
      </c>
    </row>
    <row r="3">
      <c r="A3" s="2" t="inlineStr">
        <is>
          <t>彦根東中</t>
        </is>
      </c>
      <c r="B3" s="2" t="n"/>
      <c r="C3" s="2" t="inlineStr">
        <is>
          <t>田中氏に確認後入力</t>
        </is>
      </c>
    </row>
    <row r="4">
      <c r="A4" s="2" t="inlineStr">
        <is>
          <t>彦根中央中</t>
        </is>
      </c>
      <c r="B4" s="2" t="n"/>
      <c r="C4" s="2" t="inlineStr">
        <is>
          <t>田中氏に確認後入力</t>
        </is>
      </c>
    </row>
    <row r="5">
      <c r="A5" s="2" t="inlineStr">
        <is>
          <t>南中</t>
        </is>
      </c>
      <c r="B5" s="2" t="n"/>
      <c r="C5" s="2" t="inlineStr">
        <is>
          <t>田中氏に確認後入力</t>
        </is>
      </c>
    </row>
    <row r="6">
      <c r="A6" s="2" t="inlineStr">
        <is>
          <t>彦根西中</t>
        </is>
      </c>
      <c r="B6" s="2" t="n"/>
      <c r="C6" s="2" t="inlineStr">
        <is>
          <t>田中氏に確認後入力</t>
        </is>
      </c>
    </row>
    <row r="7">
      <c r="A7" s="2" t="inlineStr">
        <is>
          <t>鳥居本中</t>
        </is>
      </c>
      <c r="B7" s="2" t="n"/>
      <c r="C7" s="2" t="inlineStr">
        <is>
          <t>田中氏に確認後入力</t>
        </is>
      </c>
    </row>
    <row r="8">
      <c r="A8" s="2" t="inlineStr">
        <is>
          <t>多賀中</t>
        </is>
      </c>
      <c r="B8" s="2" t="n"/>
      <c r="C8" s="2" t="inlineStr">
        <is>
          <t>田中氏に確認後入力</t>
        </is>
      </c>
    </row>
    <row r="9">
      <c r="A9" s="2" t="inlineStr">
        <is>
          <t>河瀬中</t>
        </is>
      </c>
      <c r="B9" s="2" t="n"/>
      <c r="C9" s="2" t="inlineStr">
        <is>
          <t>田中氏に確認後入力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補正後5科合計（下限）</t>
        </is>
      </c>
      <c r="B1" s="1" t="inlineStr">
        <is>
          <t>推定Vもし偏差値</t>
        </is>
      </c>
    </row>
    <row r="2">
      <c r="A2" s="4" t="n"/>
      <c r="B2" s="5" t="n"/>
    </row>
    <row r="3">
      <c r="A3" s="4" t="n"/>
      <c r="B3" s="5" t="n"/>
    </row>
    <row r="4">
      <c r="A4" s="4" t="n"/>
      <c r="B4" s="5" t="n"/>
    </row>
    <row r="5">
      <c r="A5" s="4" t="n"/>
      <c r="B5" s="5" t="n"/>
    </row>
    <row r="6">
      <c r="A6" s="4" t="n"/>
      <c r="B6" s="5" t="n"/>
    </row>
    <row r="7">
      <c r="A7" s="4" t="n"/>
      <c r="B7" s="5" t="n"/>
    </row>
    <row r="8">
      <c r="A8" s="4" t="n"/>
      <c r="B8" s="5" t="n"/>
    </row>
    <row r="9">
      <c r="A9" s="4" t="n"/>
      <c r="B9" s="5" t="n"/>
    </row>
    <row r="10">
      <c r="A10" s="4" t="n"/>
      <c r="B10" s="5" t="n"/>
    </row>
    <row r="11">
      <c r="A11" s="4" t="n"/>
      <c r="B11" s="5" t="n"/>
    </row>
    <row r="12">
      <c r="A12" s="4" t="n"/>
      <c r="B12" s="5" t="n"/>
    </row>
    <row r="13">
      <c r="A13" s="4" t="n"/>
      <c r="B13" s="5" t="n"/>
    </row>
    <row r="14">
      <c r="A14" s="4" t="n"/>
      <c r="B14" s="5" t="n"/>
    </row>
    <row r="15">
      <c r="A15" s="4" t="n"/>
      <c r="B15" s="5" t="n"/>
    </row>
    <row r="16">
      <c r="A16" s="4" t="n"/>
      <c r="B16" s="5" t="n"/>
    </row>
    <row r="17">
      <c r="A17" s="4" t="n"/>
      <c r="B17" s="5" t="n"/>
    </row>
    <row r="18">
      <c r="A18" s="4" t="n"/>
      <c r="B18" s="5" t="n"/>
    </row>
    <row r="19">
      <c r="A19" s="4" t="n"/>
      <c r="B19" s="5" t="n"/>
    </row>
    <row r="20">
      <c r="A20" s="4" t="n"/>
      <c r="B20" s="5" t="n"/>
    </row>
    <row r="21">
      <c r="A21" s="4" t="n"/>
      <c r="B21" s="5" t="n"/>
    </row>
    <row r="23">
      <c r="A23" s="6" t="inlineStr">
        <is>
          <t>※ A列（補正後5科合計）は必ず昇順で入力してください（VLOOKUPの近似一致で正しく動作するため）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4" customWidth="1" min="10" max="10"/>
    <col width="10" customWidth="1" min="11" max="11"/>
    <col width="14" customWidth="1" min="12" max="12"/>
    <col width="16" customWidth="1" min="13" max="13"/>
    <col width="16" customWidth="1" min="14" max="14"/>
    <col width="14" customWidth="1" min="15" max="15"/>
    <col width="18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生徒名</t>
        </is>
      </c>
      <c r="B1" s="1" t="inlineStr">
        <is>
          <t>学年</t>
        </is>
      </c>
      <c r="C1" s="1" t="inlineStr">
        <is>
          <t>中学校名</t>
        </is>
      </c>
      <c r="D1" s="1" t="inlineStr">
        <is>
          <t>国語</t>
        </is>
      </c>
      <c r="E1" s="1" t="inlineStr">
        <is>
          <t>数学</t>
        </is>
      </c>
      <c r="F1" s="1" t="inlineStr">
        <is>
          <t>英語</t>
        </is>
      </c>
      <c r="G1" s="1" t="inlineStr">
        <is>
          <t>理科</t>
        </is>
      </c>
      <c r="H1" s="1" t="inlineStr">
        <is>
          <t>社会</t>
        </is>
      </c>
      <c r="I1" s="1" t="inlineStr">
        <is>
          <t>5科合計</t>
        </is>
      </c>
      <c r="J1" s="1" t="inlineStr">
        <is>
          <t>Vもし偏差値</t>
        </is>
      </c>
      <c r="K1" s="1" t="inlineStr">
        <is>
          <t>補正係数</t>
        </is>
      </c>
      <c r="L1" s="1" t="inlineStr">
        <is>
          <t>補正後5科合計</t>
        </is>
      </c>
      <c r="M1" s="1" t="inlineStr">
        <is>
          <t>推定Vもし偏差値</t>
        </is>
      </c>
      <c r="N1" s="1" t="inlineStr">
        <is>
          <t>志望校</t>
        </is>
      </c>
      <c r="O1" s="1" t="inlineStr">
        <is>
          <t>志望校偏差値</t>
        </is>
      </c>
      <c r="P1" s="1" t="inlineStr">
        <is>
          <t>判定</t>
        </is>
      </c>
      <c r="Q1" s="1" t="inlineStr">
        <is>
          <t>予測第1候補</t>
        </is>
      </c>
      <c r="R1" s="1" t="inlineStr">
        <is>
          <t>予測第2候補</t>
        </is>
      </c>
      <c r="S1" s="1" t="inlineStr">
        <is>
          <t>予測第3候補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>
        <f>IF(D2&lt;&gt;"",SUM(D2:H2),"")</f>
        <v/>
      </c>
      <c r="J2" s="2" t="n"/>
      <c r="K2" s="3">
        <f>IFERROR(VLOOKUP(C2,'中学校補正マスタ'!A:B,2,FALSE),"")</f>
        <v/>
      </c>
      <c r="L2" s="5">
        <f>IF(AND(I2&lt;&gt;"",K2&lt;&gt;""),I2*K2,"")</f>
        <v/>
      </c>
      <c r="M2" s="5">
        <f>IF(J2&lt;&gt;"",J2,IF(L2&lt;&gt;"",IFERROR(VLOOKUP(L2,'換算マスタ'!A:B,2,TRUE),""),""))</f>
        <v/>
      </c>
      <c r="N2" s="2" t="n"/>
      <c r="O2" s="5">
        <f>IFERROR(VLOOKUP(N2,'高校別サマリー'!A:C,3,FALSE),"")</f>
        <v/>
      </c>
      <c r="P2" s="2">
        <f>IF(OR(M2="",O2=""),"",IFS(M2&gt;=O2+3,"A判定（安全圏）",M2&gt;=O2+1,"B判定（合格圏）",M2&gt;=O2-1,"C判定（ボーダー）",M2&gt;=O2-3,"D判定（努力圏）",TRUE,"E判定（要再考）"))</f>
        <v/>
      </c>
      <c r="Q2" s="2">
        <f>IFERROR(INDEX(SORT('高校別サマリー'!A$2:C$19,ABS('高校別サマリー'!C$2:C$19-M2),TRUE),1,1),"")</f>
        <v/>
      </c>
      <c r="R2" s="2">
        <f>IFERROR(INDEX(SORT('高校別サマリー'!A$2:C$19,ABS('高校別サマリー'!C$2:C$19-M2),TRUE),2,1),"")</f>
        <v/>
      </c>
      <c r="S2" s="2">
        <f>IFERROR(INDEX(SORT('高校別サマリー'!A$2:C$19,ABS('高校別サマリー'!C$2:C$19-M2),TRUE),3,1),"")</f>
        <v/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>
        <f>IF(D3&lt;&gt;"",SUM(D3:H3),"")</f>
        <v/>
      </c>
      <c r="J3" s="2" t="n"/>
      <c r="K3" s="3">
        <f>IFERROR(VLOOKUP(C3,'中学校補正マスタ'!A:B,2,FALSE),"")</f>
        <v/>
      </c>
      <c r="L3" s="5">
        <f>IF(AND(I3&lt;&gt;"",K3&lt;&gt;""),I3*K3,"")</f>
        <v/>
      </c>
      <c r="M3" s="5">
        <f>IF(J3&lt;&gt;"",J3,IF(L3&lt;&gt;"",IFERROR(VLOOKUP(L3,'換算マスタ'!A:B,2,TRUE),""),""))</f>
        <v/>
      </c>
      <c r="N3" s="2" t="n"/>
      <c r="O3" s="5">
        <f>IFERROR(VLOOKUP(N3,'高校別サマリー'!A:C,3,FALSE),"")</f>
        <v/>
      </c>
      <c r="P3" s="2">
        <f>IF(OR(M3="",O3=""),"",IFS(M3&gt;=O3+3,"A判定（安全圏）",M3&gt;=O3+1,"B判定（合格圏）",M3&gt;=O3-1,"C判定（ボーダー）",M3&gt;=O3-3,"D判定（努力圏）",TRUE,"E判定（要再考）"))</f>
        <v/>
      </c>
      <c r="Q3" s="2">
        <f>IFERROR(INDEX(SORT('高校別サマリー'!A$2:C$19,ABS('高校別サマリー'!C$2:C$19-M3),TRUE),1,1),"")</f>
        <v/>
      </c>
      <c r="R3" s="2">
        <f>IFERROR(INDEX(SORT('高校別サマリー'!A$2:C$19,ABS('高校別サマリー'!C$2:C$19-M3),TRUE),2,1),"")</f>
        <v/>
      </c>
      <c r="S3" s="2">
        <f>IFERROR(INDEX(SORT('高校別サマリー'!A$2:C$19,ABS('高校別サマリー'!C$2:C$19-M3),TRUE),3,1),"")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>
        <f>IF(D4&lt;&gt;"",SUM(D4:H4),"")</f>
        <v/>
      </c>
      <c r="J4" s="2" t="n"/>
      <c r="K4" s="3">
        <f>IFERROR(VLOOKUP(C4,'中学校補正マスタ'!A:B,2,FALSE),"")</f>
        <v/>
      </c>
      <c r="L4" s="5">
        <f>IF(AND(I4&lt;&gt;"",K4&lt;&gt;""),I4*K4,"")</f>
        <v/>
      </c>
      <c r="M4" s="5">
        <f>IF(J4&lt;&gt;"",J4,IF(L4&lt;&gt;"",IFERROR(VLOOKUP(L4,'換算マスタ'!A:B,2,TRUE),""),""))</f>
        <v/>
      </c>
      <c r="N4" s="2" t="n"/>
      <c r="O4" s="5">
        <f>IFERROR(VLOOKUP(N4,'高校別サマリー'!A:C,3,FALSE),"")</f>
        <v/>
      </c>
      <c r="P4" s="2">
        <f>IF(OR(M4="",O4=""),"",IFS(M4&gt;=O4+3,"A判定（安全圏）",M4&gt;=O4+1,"B判定（合格圏）",M4&gt;=O4-1,"C判定（ボーダー）",M4&gt;=O4-3,"D判定（努力圏）",TRUE,"E判定（要再考）"))</f>
        <v/>
      </c>
      <c r="Q4" s="2">
        <f>IFERROR(INDEX(SORT('高校別サマリー'!A$2:C$19,ABS('高校別サマリー'!C$2:C$19-M4),TRUE),1,1),"")</f>
        <v/>
      </c>
      <c r="R4" s="2">
        <f>IFERROR(INDEX(SORT('高校別サマリー'!A$2:C$19,ABS('高校別サマリー'!C$2:C$19-M4),TRUE),2,1),"")</f>
        <v/>
      </c>
      <c r="S4" s="2">
        <f>IFERROR(INDEX(SORT('高校別サマリー'!A$2:C$19,ABS('高校別サマリー'!C$2:C$19-M4),TRUE),3,1),"")</f>
        <v/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>
        <f>IF(D5&lt;&gt;"",SUM(D5:H5),"")</f>
        <v/>
      </c>
      <c r="J5" s="2" t="n"/>
      <c r="K5" s="3">
        <f>IFERROR(VLOOKUP(C5,'中学校補正マスタ'!A:B,2,FALSE),"")</f>
        <v/>
      </c>
      <c r="L5" s="5">
        <f>IF(AND(I5&lt;&gt;"",K5&lt;&gt;""),I5*K5,"")</f>
        <v/>
      </c>
      <c r="M5" s="5">
        <f>IF(J5&lt;&gt;"",J5,IF(L5&lt;&gt;"",IFERROR(VLOOKUP(L5,'換算マスタ'!A:B,2,TRUE),""),""))</f>
        <v/>
      </c>
      <c r="N5" s="2" t="n"/>
      <c r="O5" s="5">
        <f>IFERROR(VLOOKUP(N5,'高校別サマリー'!A:C,3,FALSE),"")</f>
        <v/>
      </c>
      <c r="P5" s="2">
        <f>IF(OR(M5="",O5=""),"",IFS(M5&gt;=O5+3,"A判定（安全圏）",M5&gt;=O5+1,"B判定（合格圏）",M5&gt;=O5-1,"C判定（ボーダー）",M5&gt;=O5-3,"D判定（努力圏）",TRUE,"E判定（要再考）"))</f>
        <v/>
      </c>
      <c r="Q5" s="2">
        <f>IFERROR(INDEX(SORT('高校別サマリー'!A$2:C$19,ABS('高校別サマリー'!C$2:C$19-M5),TRUE),1,1),"")</f>
        <v/>
      </c>
      <c r="R5" s="2">
        <f>IFERROR(INDEX(SORT('高校別サマリー'!A$2:C$19,ABS('高校別サマリー'!C$2:C$19-M5),TRUE),2,1),"")</f>
        <v/>
      </c>
      <c r="S5" s="2">
        <f>IFERROR(INDEX(SORT('高校別サマリー'!A$2:C$19,ABS('高校別サマリー'!C$2:C$19-M5),TRUE),3,1),"")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>
        <f>IF(D6&lt;&gt;"",SUM(D6:H6),"")</f>
        <v/>
      </c>
      <c r="J6" s="2" t="n"/>
      <c r="K6" s="3">
        <f>IFERROR(VLOOKUP(C6,'中学校補正マスタ'!A:B,2,FALSE),"")</f>
        <v/>
      </c>
      <c r="L6" s="5">
        <f>IF(AND(I6&lt;&gt;"",K6&lt;&gt;""),I6*K6,"")</f>
        <v/>
      </c>
      <c r="M6" s="5">
        <f>IF(J6&lt;&gt;"",J6,IF(L6&lt;&gt;"",IFERROR(VLOOKUP(L6,'換算マスタ'!A:B,2,TRUE),""),""))</f>
        <v/>
      </c>
      <c r="N6" s="2" t="n"/>
      <c r="O6" s="5">
        <f>IFERROR(VLOOKUP(N6,'高校別サマリー'!A:C,3,FALSE),"")</f>
        <v/>
      </c>
      <c r="P6" s="2">
        <f>IF(OR(M6="",O6=""),"",IFS(M6&gt;=O6+3,"A判定（安全圏）",M6&gt;=O6+1,"B判定（合格圏）",M6&gt;=O6-1,"C判定（ボーダー）",M6&gt;=O6-3,"D判定（努力圏）",TRUE,"E判定（要再考）"))</f>
        <v/>
      </c>
      <c r="Q6" s="2">
        <f>IFERROR(INDEX(SORT('高校別サマリー'!A$2:C$19,ABS('高校別サマリー'!C$2:C$19-M6),TRUE),1,1),"")</f>
        <v/>
      </c>
      <c r="R6" s="2">
        <f>IFERROR(INDEX(SORT('高校別サマリー'!A$2:C$19,ABS('高校別サマリー'!C$2:C$19-M6),TRUE),2,1),"")</f>
        <v/>
      </c>
      <c r="S6" s="2">
        <f>IFERROR(INDEX(SORT('高校別サマリー'!A$2:C$19,ABS('高校別サマリー'!C$2:C$19-M6),TRUE),3,1),"")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>
        <f>IF(D7&lt;&gt;"",SUM(D7:H7),"")</f>
        <v/>
      </c>
      <c r="J7" s="2" t="n"/>
      <c r="K7" s="3">
        <f>IFERROR(VLOOKUP(C7,'中学校補正マスタ'!A:B,2,FALSE),"")</f>
        <v/>
      </c>
      <c r="L7" s="5">
        <f>IF(AND(I7&lt;&gt;"",K7&lt;&gt;""),I7*K7,"")</f>
        <v/>
      </c>
      <c r="M7" s="5">
        <f>IF(J7&lt;&gt;"",J7,IF(L7&lt;&gt;"",IFERROR(VLOOKUP(L7,'換算マスタ'!A:B,2,TRUE),""),""))</f>
        <v/>
      </c>
      <c r="N7" s="2" t="n"/>
      <c r="O7" s="5">
        <f>IFERROR(VLOOKUP(N7,'高校別サマリー'!A:C,3,FALSE),"")</f>
        <v/>
      </c>
      <c r="P7" s="2">
        <f>IF(OR(M7="",O7=""),"",IFS(M7&gt;=O7+3,"A判定（安全圏）",M7&gt;=O7+1,"B判定（合格圏）",M7&gt;=O7-1,"C判定（ボーダー）",M7&gt;=O7-3,"D判定（努力圏）",TRUE,"E判定（要再考）"))</f>
        <v/>
      </c>
      <c r="Q7" s="2">
        <f>IFERROR(INDEX(SORT('高校別サマリー'!A$2:C$19,ABS('高校別サマリー'!C$2:C$19-M7),TRUE),1,1),"")</f>
        <v/>
      </c>
      <c r="R7" s="2">
        <f>IFERROR(INDEX(SORT('高校別サマリー'!A$2:C$19,ABS('高校別サマリー'!C$2:C$19-M7),TRUE),2,1),"")</f>
        <v/>
      </c>
      <c r="S7" s="2">
        <f>IFERROR(INDEX(SORT('高校別サマリー'!A$2:C$19,ABS('高校別サマリー'!C$2:C$19-M7),TRUE),3,1),"")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>
        <f>IF(D8&lt;&gt;"",SUM(D8:H8),"")</f>
        <v/>
      </c>
      <c r="J8" s="2" t="n"/>
      <c r="K8" s="3">
        <f>IFERROR(VLOOKUP(C8,'中学校補正マスタ'!A:B,2,FALSE),"")</f>
        <v/>
      </c>
      <c r="L8" s="5">
        <f>IF(AND(I8&lt;&gt;"",K8&lt;&gt;""),I8*K8,"")</f>
        <v/>
      </c>
      <c r="M8" s="5">
        <f>IF(J8&lt;&gt;"",J8,IF(L8&lt;&gt;"",IFERROR(VLOOKUP(L8,'換算マスタ'!A:B,2,TRUE),""),""))</f>
        <v/>
      </c>
      <c r="N8" s="2" t="n"/>
      <c r="O8" s="5">
        <f>IFERROR(VLOOKUP(N8,'高校別サマリー'!A:C,3,FALSE),"")</f>
        <v/>
      </c>
      <c r="P8" s="2">
        <f>IF(OR(M8="",O8=""),"",IFS(M8&gt;=O8+3,"A判定（安全圏）",M8&gt;=O8+1,"B判定（合格圏）",M8&gt;=O8-1,"C判定（ボーダー）",M8&gt;=O8-3,"D判定（努力圏）",TRUE,"E判定（要再考）"))</f>
        <v/>
      </c>
      <c r="Q8" s="2">
        <f>IFERROR(INDEX(SORT('高校別サマリー'!A$2:C$19,ABS('高校別サマリー'!C$2:C$19-M8),TRUE),1,1),"")</f>
        <v/>
      </c>
      <c r="R8" s="2">
        <f>IFERROR(INDEX(SORT('高校別サマリー'!A$2:C$19,ABS('高校別サマリー'!C$2:C$19-M8),TRUE),2,1),"")</f>
        <v/>
      </c>
      <c r="S8" s="2">
        <f>IFERROR(INDEX(SORT('高校別サマリー'!A$2:C$19,ABS('高校別サマリー'!C$2:C$19-M8),TRUE),3,1),"")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>
        <f>IF(D9&lt;&gt;"",SUM(D9:H9),"")</f>
        <v/>
      </c>
      <c r="J9" s="2" t="n"/>
      <c r="K9" s="3">
        <f>IFERROR(VLOOKUP(C9,'中学校補正マスタ'!A:B,2,FALSE),"")</f>
        <v/>
      </c>
      <c r="L9" s="5">
        <f>IF(AND(I9&lt;&gt;"",K9&lt;&gt;""),I9*K9,"")</f>
        <v/>
      </c>
      <c r="M9" s="5">
        <f>IF(J9&lt;&gt;"",J9,IF(L9&lt;&gt;"",IFERROR(VLOOKUP(L9,'換算マスタ'!A:B,2,TRUE),""),""))</f>
        <v/>
      </c>
      <c r="N9" s="2" t="n"/>
      <c r="O9" s="5">
        <f>IFERROR(VLOOKUP(N9,'高校別サマリー'!A:C,3,FALSE),"")</f>
        <v/>
      </c>
      <c r="P9" s="2">
        <f>IF(OR(M9="",O9=""),"",IFS(M9&gt;=O9+3,"A判定（安全圏）",M9&gt;=O9+1,"B判定（合格圏）",M9&gt;=O9-1,"C判定（ボーダー）",M9&gt;=O9-3,"D判定（努力圏）",TRUE,"E判定（要再考）"))</f>
        <v/>
      </c>
      <c r="Q9" s="2">
        <f>IFERROR(INDEX(SORT('高校別サマリー'!A$2:C$19,ABS('高校別サマリー'!C$2:C$19-M9),TRUE),1,1),"")</f>
        <v/>
      </c>
      <c r="R9" s="2">
        <f>IFERROR(INDEX(SORT('高校別サマリー'!A$2:C$19,ABS('高校別サマリー'!C$2:C$19-M9),TRUE),2,1),"")</f>
        <v/>
      </c>
      <c r="S9" s="2">
        <f>IFERROR(INDEX(SORT('高校別サマリー'!A$2:C$19,ABS('高校別サマリー'!C$2:C$19-M9),TRUE),3,1),"")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>
        <f>IF(D10&lt;&gt;"",SUM(D10:H10),"")</f>
        <v/>
      </c>
      <c r="J10" s="2" t="n"/>
      <c r="K10" s="3">
        <f>IFERROR(VLOOKUP(C10,'中学校補正マスタ'!A:B,2,FALSE),"")</f>
        <v/>
      </c>
      <c r="L10" s="5">
        <f>IF(AND(I10&lt;&gt;"",K10&lt;&gt;""),I10*K10,"")</f>
        <v/>
      </c>
      <c r="M10" s="5">
        <f>IF(J10&lt;&gt;"",J10,IF(L10&lt;&gt;"",IFERROR(VLOOKUP(L10,'換算マスタ'!A:B,2,TRUE),""),""))</f>
        <v/>
      </c>
      <c r="N10" s="2" t="n"/>
      <c r="O10" s="5">
        <f>IFERROR(VLOOKUP(N10,'高校別サマリー'!A:C,3,FALSE),"")</f>
        <v/>
      </c>
      <c r="P10" s="2">
        <f>IF(OR(M10="",O10=""),"",IFS(M10&gt;=O10+3,"A判定（安全圏）",M10&gt;=O10+1,"B判定（合格圏）",M10&gt;=O10-1,"C判定（ボーダー）",M10&gt;=O10-3,"D判定（努力圏）",TRUE,"E判定（要再考）"))</f>
        <v/>
      </c>
      <c r="Q10" s="2">
        <f>IFERROR(INDEX(SORT('高校別サマリー'!A$2:C$19,ABS('高校別サマリー'!C$2:C$19-M10),TRUE),1,1),"")</f>
        <v/>
      </c>
      <c r="R10" s="2">
        <f>IFERROR(INDEX(SORT('高校別サマリー'!A$2:C$19,ABS('高校別サマリー'!C$2:C$19-M10),TRUE),2,1),"")</f>
        <v/>
      </c>
      <c r="S10" s="2">
        <f>IFERROR(INDEX(SORT('高校別サマリー'!A$2:C$19,ABS('高校別サマリー'!C$2:C$19-M10),TRUE),3,1),"")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>
        <f>IF(D11&lt;&gt;"",SUM(D11:H11),"")</f>
        <v/>
      </c>
      <c r="J11" s="2" t="n"/>
      <c r="K11" s="3">
        <f>IFERROR(VLOOKUP(C11,'中学校補正マスタ'!A:B,2,FALSE),"")</f>
        <v/>
      </c>
      <c r="L11" s="5">
        <f>IF(AND(I11&lt;&gt;"",K11&lt;&gt;""),I11*K11,"")</f>
        <v/>
      </c>
      <c r="M11" s="5">
        <f>IF(J11&lt;&gt;"",J11,IF(L11&lt;&gt;"",IFERROR(VLOOKUP(L11,'換算マスタ'!A:B,2,TRUE),""),""))</f>
        <v/>
      </c>
      <c r="N11" s="2" t="n"/>
      <c r="O11" s="5">
        <f>IFERROR(VLOOKUP(N11,'高校別サマリー'!A:C,3,FALSE),"")</f>
        <v/>
      </c>
      <c r="P11" s="2">
        <f>IF(OR(M11="",O11=""),"",IFS(M11&gt;=O11+3,"A判定（安全圏）",M11&gt;=O11+1,"B判定（合格圏）",M11&gt;=O11-1,"C判定（ボーダー）",M11&gt;=O11-3,"D判定（努力圏）",TRUE,"E判定（要再考）"))</f>
        <v/>
      </c>
      <c r="Q11" s="2">
        <f>IFERROR(INDEX(SORT('高校別サマリー'!A$2:C$19,ABS('高校別サマリー'!C$2:C$19-M11),TRUE),1,1),"")</f>
        <v/>
      </c>
      <c r="R11" s="2">
        <f>IFERROR(INDEX(SORT('高校別サマリー'!A$2:C$19,ABS('高校別サマリー'!C$2:C$19-M11),TRUE),2,1),"")</f>
        <v/>
      </c>
      <c r="S11" s="2">
        <f>IFERROR(INDEX(SORT('高校別サマリー'!A$2:C$19,ABS('高校別サマリー'!C$2:C$19-M11),TRUE),3,1),"")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>
        <f>IF(D12&lt;&gt;"",SUM(D12:H12),"")</f>
        <v/>
      </c>
      <c r="J12" s="2" t="n"/>
      <c r="K12" s="3">
        <f>IFERROR(VLOOKUP(C12,'中学校補正マスタ'!A:B,2,FALSE),"")</f>
        <v/>
      </c>
      <c r="L12" s="5">
        <f>IF(AND(I12&lt;&gt;"",K12&lt;&gt;""),I12*K12,"")</f>
        <v/>
      </c>
      <c r="M12" s="5">
        <f>IF(J12&lt;&gt;"",J12,IF(L12&lt;&gt;"",IFERROR(VLOOKUP(L12,'換算マスタ'!A:B,2,TRUE),""),""))</f>
        <v/>
      </c>
      <c r="N12" s="2" t="n"/>
      <c r="O12" s="5">
        <f>IFERROR(VLOOKUP(N12,'高校別サマリー'!A:C,3,FALSE),"")</f>
        <v/>
      </c>
      <c r="P12" s="2">
        <f>IF(OR(M12="",O12=""),"",IFS(M12&gt;=O12+3,"A判定（安全圏）",M12&gt;=O12+1,"B判定（合格圏）",M12&gt;=O12-1,"C判定（ボーダー）",M12&gt;=O12-3,"D判定（努力圏）",TRUE,"E判定（要再考）"))</f>
        <v/>
      </c>
      <c r="Q12" s="2">
        <f>IFERROR(INDEX(SORT('高校別サマリー'!A$2:C$19,ABS('高校別サマリー'!C$2:C$19-M12),TRUE),1,1),"")</f>
        <v/>
      </c>
      <c r="R12" s="2">
        <f>IFERROR(INDEX(SORT('高校別サマリー'!A$2:C$19,ABS('高校別サマリー'!C$2:C$19-M12),TRUE),2,1),"")</f>
        <v/>
      </c>
      <c r="S12" s="2">
        <f>IFERROR(INDEX(SORT('高校別サマリー'!A$2:C$19,ABS('高校別サマリー'!C$2:C$19-M12),TRUE),3,1),"")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>
        <f>IF(D13&lt;&gt;"",SUM(D13:H13),"")</f>
        <v/>
      </c>
      <c r="J13" s="2" t="n"/>
      <c r="K13" s="3">
        <f>IFERROR(VLOOKUP(C13,'中学校補正マスタ'!A:B,2,FALSE),"")</f>
        <v/>
      </c>
      <c r="L13" s="5">
        <f>IF(AND(I13&lt;&gt;"",K13&lt;&gt;""),I13*K13,"")</f>
        <v/>
      </c>
      <c r="M13" s="5">
        <f>IF(J13&lt;&gt;"",J13,IF(L13&lt;&gt;"",IFERROR(VLOOKUP(L13,'換算マスタ'!A:B,2,TRUE),""),""))</f>
        <v/>
      </c>
      <c r="N13" s="2" t="n"/>
      <c r="O13" s="5">
        <f>IFERROR(VLOOKUP(N13,'高校別サマリー'!A:C,3,FALSE),"")</f>
        <v/>
      </c>
      <c r="P13" s="2">
        <f>IF(OR(M13="",O13=""),"",IFS(M13&gt;=O13+3,"A判定（安全圏）",M13&gt;=O13+1,"B判定（合格圏）",M13&gt;=O13-1,"C判定（ボーダー）",M13&gt;=O13-3,"D判定（努力圏）",TRUE,"E判定（要再考）"))</f>
        <v/>
      </c>
      <c r="Q13" s="2">
        <f>IFERROR(INDEX(SORT('高校別サマリー'!A$2:C$19,ABS('高校別サマリー'!C$2:C$19-M13),TRUE),1,1),"")</f>
        <v/>
      </c>
      <c r="R13" s="2">
        <f>IFERROR(INDEX(SORT('高校別サマリー'!A$2:C$19,ABS('高校別サマリー'!C$2:C$19-M13),TRUE),2,1),"")</f>
        <v/>
      </c>
      <c r="S13" s="2">
        <f>IFERROR(INDEX(SORT('高校別サマリー'!A$2:C$19,ABS('高校別サマリー'!C$2:C$19-M13),TRUE),3,1),"")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>
        <f>IF(D14&lt;&gt;"",SUM(D14:H14),"")</f>
        <v/>
      </c>
      <c r="J14" s="2" t="n"/>
      <c r="K14" s="3">
        <f>IFERROR(VLOOKUP(C14,'中学校補正マスタ'!A:B,2,FALSE),"")</f>
        <v/>
      </c>
      <c r="L14" s="5">
        <f>IF(AND(I14&lt;&gt;"",K14&lt;&gt;""),I14*K14,"")</f>
        <v/>
      </c>
      <c r="M14" s="5">
        <f>IF(J14&lt;&gt;"",J14,IF(L14&lt;&gt;"",IFERROR(VLOOKUP(L14,'換算マスタ'!A:B,2,TRUE),""),""))</f>
        <v/>
      </c>
      <c r="N14" s="2" t="n"/>
      <c r="O14" s="5">
        <f>IFERROR(VLOOKUP(N14,'高校別サマリー'!A:C,3,FALSE),"")</f>
        <v/>
      </c>
      <c r="P14" s="2">
        <f>IF(OR(M14="",O14=""),"",IFS(M14&gt;=O14+3,"A判定（安全圏）",M14&gt;=O14+1,"B判定（合格圏）",M14&gt;=O14-1,"C判定（ボーダー）",M14&gt;=O14-3,"D判定（努力圏）",TRUE,"E判定（要再考）"))</f>
        <v/>
      </c>
      <c r="Q14" s="2">
        <f>IFERROR(INDEX(SORT('高校別サマリー'!A$2:C$19,ABS('高校別サマリー'!C$2:C$19-M14),TRUE),1,1),"")</f>
        <v/>
      </c>
      <c r="R14" s="2">
        <f>IFERROR(INDEX(SORT('高校別サマリー'!A$2:C$19,ABS('高校別サマリー'!C$2:C$19-M14),TRUE),2,1),"")</f>
        <v/>
      </c>
      <c r="S14" s="2">
        <f>IFERROR(INDEX(SORT('高校別サマリー'!A$2:C$19,ABS('高校別サマリー'!C$2:C$19-M14),TRUE),3,1),"")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>
        <f>IF(D15&lt;&gt;"",SUM(D15:H15),"")</f>
        <v/>
      </c>
      <c r="J15" s="2" t="n"/>
      <c r="K15" s="3">
        <f>IFERROR(VLOOKUP(C15,'中学校補正マスタ'!A:B,2,FALSE),"")</f>
        <v/>
      </c>
      <c r="L15" s="5">
        <f>IF(AND(I15&lt;&gt;"",K15&lt;&gt;""),I15*K15,"")</f>
        <v/>
      </c>
      <c r="M15" s="5">
        <f>IF(J15&lt;&gt;"",J15,IF(L15&lt;&gt;"",IFERROR(VLOOKUP(L15,'換算マスタ'!A:B,2,TRUE),""),""))</f>
        <v/>
      </c>
      <c r="N15" s="2" t="n"/>
      <c r="O15" s="5">
        <f>IFERROR(VLOOKUP(N15,'高校別サマリー'!A:C,3,FALSE),"")</f>
        <v/>
      </c>
      <c r="P15" s="2">
        <f>IF(OR(M15="",O15=""),"",IFS(M15&gt;=O15+3,"A判定（安全圏）",M15&gt;=O15+1,"B判定（合格圏）",M15&gt;=O15-1,"C判定（ボーダー）",M15&gt;=O15-3,"D判定（努力圏）",TRUE,"E判定（要再考）"))</f>
        <v/>
      </c>
      <c r="Q15" s="2">
        <f>IFERROR(INDEX(SORT('高校別サマリー'!A$2:C$19,ABS('高校別サマリー'!C$2:C$19-M15),TRUE),1,1),"")</f>
        <v/>
      </c>
      <c r="R15" s="2">
        <f>IFERROR(INDEX(SORT('高校別サマリー'!A$2:C$19,ABS('高校別サマリー'!C$2:C$19-M15),TRUE),2,1),"")</f>
        <v/>
      </c>
      <c r="S15" s="2">
        <f>IFERROR(INDEX(SORT('高校別サマリー'!A$2:C$19,ABS('高校別サマリー'!C$2:C$19-M15),TRUE),3,1),"")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>
        <f>IF(D16&lt;&gt;"",SUM(D16:H16),"")</f>
        <v/>
      </c>
      <c r="J16" s="2" t="n"/>
      <c r="K16" s="3">
        <f>IFERROR(VLOOKUP(C16,'中学校補正マスタ'!A:B,2,FALSE),"")</f>
        <v/>
      </c>
      <c r="L16" s="5">
        <f>IF(AND(I16&lt;&gt;"",K16&lt;&gt;""),I16*K16,"")</f>
        <v/>
      </c>
      <c r="M16" s="5">
        <f>IF(J16&lt;&gt;"",J16,IF(L16&lt;&gt;"",IFERROR(VLOOKUP(L16,'換算マスタ'!A:B,2,TRUE),""),""))</f>
        <v/>
      </c>
      <c r="N16" s="2" t="n"/>
      <c r="O16" s="5">
        <f>IFERROR(VLOOKUP(N16,'高校別サマリー'!A:C,3,FALSE),"")</f>
        <v/>
      </c>
      <c r="P16" s="2">
        <f>IF(OR(M16="",O16=""),"",IFS(M16&gt;=O16+3,"A判定（安全圏）",M16&gt;=O16+1,"B判定（合格圏）",M16&gt;=O16-1,"C判定（ボーダー）",M16&gt;=O16-3,"D判定（努力圏）",TRUE,"E判定（要再考）"))</f>
        <v/>
      </c>
      <c r="Q16" s="2">
        <f>IFERROR(INDEX(SORT('高校別サマリー'!A$2:C$19,ABS('高校別サマリー'!C$2:C$19-M16),TRUE),1,1),"")</f>
        <v/>
      </c>
      <c r="R16" s="2">
        <f>IFERROR(INDEX(SORT('高校別サマリー'!A$2:C$19,ABS('高校別サマリー'!C$2:C$19-M16),TRUE),2,1),"")</f>
        <v/>
      </c>
      <c r="S16" s="2">
        <f>IFERROR(INDEX(SORT('高校別サマリー'!A$2:C$19,ABS('高校別サマリー'!C$2:C$19-M16),TRUE),3,1),"")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>
        <f>IF(D17&lt;&gt;"",SUM(D17:H17),"")</f>
        <v/>
      </c>
      <c r="J17" s="2" t="n"/>
      <c r="K17" s="3">
        <f>IFERROR(VLOOKUP(C17,'中学校補正マスタ'!A:B,2,FALSE),"")</f>
        <v/>
      </c>
      <c r="L17" s="5">
        <f>IF(AND(I17&lt;&gt;"",K17&lt;&gt;""),I17*K17,"")</f>
        <v/>
      </c>
      <c r="M17" s="5">
        <f>IF(J17&lt;&gt;"",J17,IF(L17&lt;&gt;"",IFERROR(VLOOKUP(L17,'換算マスタ'!A:B,2,TRUE),""),""))</f>
        <v/>
      </c>
      <c r="N17" s="2" t="n"/>
      <c r="O17" s="5">
        <f>IFERROR(VLOOKUP(N17,'高校別サマリー'!A:C,3,FALSE),"")</f>
        <v/>
      </c>
      <c r="P17" s="2">
        <f>IF(OR(M17="",O17=""),"",IFS(M17&gt;=O17+3,"A判定（安全圏）",M17&gt;=O17+1,"B判定（合格圏）",M17&gt;=O17-1,"C判定（ボーダー）",M17&gt;=O17-3,"D判定（努力圏）",TRUE,"E判定（要再考）"))</f>
        <v/>
      </c>
      <c r="Q17" s="2">
        <f>IFERROR(INDEX(SORT('高校別サマリー'!A$2:C$19,ABS('高校別サマリー'!C$2:C$19-M17),TRUE),1,1),"")</f>
        <v/>
      </c>
      <c r="R17" s="2">
        <f>IFERROR(INDEX(SORT('高校別サマリー'!A$2:C$19,ABS('高校別サマリー'!C$2:C$19-M17),TRUE),2,1),"")</f>
        <v/>
      </c>
      <c r="S17" s="2">
        <f>IFERROR(INDEX(SORT('高校別サマリー'!A$2:C$19,ABS('高校別サマリー'!C$2:C$19-M17),TRUE),3,1),"")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>
        <f>IF(D18&lt;&gt;"",SUM(D18:H18),"")</f>
        <v/>
      </c>
      <c r="J18" s="2" t="n"/>
      <c r="K18" s="3">
        <f>IFERROR(VLOOKUP(C18,'中学校補正マスタ'!A:B,2,FALSE),"")</f>
        <v/>
      </c>
      <c r="L18" s="5">
        <f>IF(AND(I18&lt;&gt;"",K18&lt;&gt;""),I18*K18,"")</f>
        <v/>
      </c>
      <c r="M18" s="5">
        <f>IF(J18&lt;&gt;"",J18,IF(L18&lt;&gt;"",IFERROR(VLOOKUP(L18,'換算マスタ'!A:B,2,TRUE),""),""))</f>
        <v/>
      </c>
      <c r="N18" s="2" t="n"/>
      <c r="O18" s="5">
        <f>IFERROR(VLOOKUP(N18,'高校別サマリー'!A:C,3,FALSE),"")</f>
        <v/>
      </c>
      <c r="P18" s="2">
        <f>IF(OR(M18="",O18=""),"",IFS(M18&gt;=O18+3,"A判定（安全圏）",M18&gt;=O18+1,"B判定（合格圏）",M18&gt;=O18-1,"C判定（ボーダー）",M18&gt;=O18-3,"D判定（努力圏）",TRUE,"E判定（要再考）"))</f>
        <v/>
      </c>
      <c r="Q18" s="2">
        <f>IFERROR(INDEX(SORT('高校別サマリー'!A$2:C$19,ABS('高校別サマリー'!C$2:C$19-M18),TRUE),1,1),"")</f>
        <v/>
      </c>
      <c r="R18" s="2">
        <f>IFERROR(INDEX(SORT('高校別サマリー'!A$2:C$19,ABS('高校別サマリー'!C$2:C$19-M18),TRUE),2,1),"")</f>
        <v/>
      </c>
      <c r="S18" s="2">
        <f>IFERROR(INDEX(SORT('高校別サマリー'!A$2:C$19,ABS('高校別サマリー'!C$2:C$19-M18),TRUE),3,1),"")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>
        <f>IF(D19&lt;&gt;"",SUM(D19:H19),"")</f>
        <v/>
      </c>
      <c r="J19" s="2" t="n"/>
      <c r="K19" s="3">
        <f>IFERROR(VLOOKUP(C19,'中学校補正マスタ'!A:B,2,FALSE),"")</f>
        <v/>
      </c>
      <c r="L19" s="5">
        <f>IF(AND(I19&lt;&gt;"",K19&lt;&gt;""),I19*K19,"")</f>
        <v/>
      </c>
      <c r="M19" s="5">
        <f>IF(J19&lt;&gt;"",J19,IF(L19&lt;&gt;"",IFERROR(VLOOKUP(L19,'換算マスタ'!A:B,2,TRUE),""),""))</f>
        <v/>
      </c>
      <c r="N19" s="2" t="n"/>
      <c r="O19" s="5">
        <f>IFERROR(VLOOKUP(N19,'高校別サマリー'!A:C,3,FALSE),"")</f>
        <v/>
      </c>
      <c r="P19" s="2">
        <f>IF(OR(M19="",O19=""),"",IFS(M19&gt;=O19+3,"A判定（安全圏）",M19&gt;=O19+1,"B判定（合格圏）",M19&gt;=O19-1,"C判定（ボーダー）",M19&gt;=O19-3,"D判定（努力圏）",TRUE,"E判定（要再考）"))</f>
        <v/>
      </c>
      <c r="Q19" s="2">
        <f>IFERROR(INDEX(SORT('高校別サマリー'!A$2:C$19,ABS('高校別サマリー'!C$2:C$19-M19),TRUE),1,1),"")</f>
        <v/>
      </c>
      <c r="R19" s="2">
        <f>IFERROR(INDEX(SORT('高校別サマリー'!A$2:C$19,ABS('高校別サマリー'!C$2:C$19-M19),TRUE),2,1),"")</f>
        <v/>
      </c>
      <c r="S19" s="2">
        <f>IFERROR(INDEX(SORT('高校別サマリー'!A$2:C$19,ABS('高校別サマリー'!C$2:C$19-M19),TRUE),3,1),"")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>
        <f>IF(D20&lt;&gt;"",SUM(D20:H20),"")</f>
        <v/>
      </c>
      <c r="J20" s="2" t="n"/>
      <c r="K20" s="3">
        <f>IFERROR(VLOOKUP(C20,'中学校補正マスタ'!A:B,2,FALSE),"")</f>
        <v/>
      </c>
      <c r="L20" s="5">
        <f>IF(AND(I20&lt;&gt;"",K20&lt;&gt;""),I20*K20,"")</f>
        <v/>
      </c>
      <c r="M20" s="5">
        <f>IF(J20&lt;&gt;"",J20,IF(L20&lt;&gt;"",IFERROR(VLOOKUP(L20,'換算マスタ'!A:B,2,TRUE),""),""))</f>
        <v/>
      </c>
      <c r="N20" s="2" t="n"/>
      <c r="O20" s="5">
        <f>IFERROR(VLOOKUP(N20,'高校別サマリー'!A:C,3,FALSE),"")</f>
        <v/>
      </c>
      <c r="P20" s="2">
        <f>IF(OR(M20="",O20=""),"",IFS(M20&gt;=O20+3,"A判定（安全圏）",M20&gt;=O20+1,"B判定（合格圏）",M20&gt;=O20-1,"C判定（ボーダー）",M20&gt;=O20-3,"D判定（努力圏）",TRUE,"E判定（要再考）"))</f>
        <v/>
      </c>
      <c r="Q20" s="2">
        <f>IFERROR(INDEX(SORT('高校別サマリー'!A$2:C$19,ABS('高校別サマリー'!C$2:C$19-M20),TRUE),1,1),"")</f>
        <v/>
      </c>
      <c r="R20" s="2">
        <f>IFERROR(INDEX(SORT('高校別サマリー'!A$2:C$19,ABS('高校別サマリー'!C$2:C$19-M20),TRUE),2,1),"")</f>
        <v/>
      </c>
      <c r="S20" s="2">
        <f>IFERROR(INDEX(SORT('高校別サマリー'!A$2:C$19,ABS('高校別サマリー'!C$2:C$19-M20),TRUE),3,1),"")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>
        <f>IF(D21&lt;&gt;"",SUM(D21:H21),"")</f>
        <v/>
      </c>
      <c r="J21" s="2" t="n"/>
      <c r="K21" s="3">
        <f>IFERROR(VLOOKUP(C21,'中学校補正マスタ'!A:B,2,FALSE),"")</f>
        <v/>
      </c>
      <c r="L21" s="5">
        <f>IF(AND(I21&lt;&gt;"",K21&lt;&gt;""),I21*K21,"")</f>
        <v/>
      </c>
      <c r="M21" s="5">
        <f>IF(J21&lt;&gt;"",J21,IF(L21&lt;&gt;"",IFERROR(VLOOKUP(L21,'換算マスタ'!A:B,2,TRUE),""),""))</f>
        <v/>
      </c>
      <c r="N21" s="2" t="n"/>
      <c r="O21" s="5">
        <f>IFERROR(VLOOKUP(N21,'高校別サマリー'!A:C,3,FALSE),"")</f>
        <v/>
      </c>
      <c r="P21" s="2">
        <f>IF(OR(M21="",O21=""),"",IFS(M21&gt;=O21+3,"A判定（安全圏）",M21&gt;=O21+1,"B判定（合格圏）",M21&gt;=O21-1,"C判定（ボーダー）",M21&gt;=O21-3,"D判定（努力圏）",TRUE,"E判定（要再考）"))</f>
        <v/>
      </c>
      <c r="Q21" s="2">
        <f>IFERROR(INDEX(SORT('高校別サマリー'!A$2:C$19,ABS('高校別サマリー'!C$2:C$19-M21),TRUE),1,1),"")</f>
        <v/>
      </c>
      <c r="R21" s="2">
        <f>IFERROR(INDEX(SORT('高校別サマリー'!A$2:C$19,ABS('高校別サマリー'!C$2:C$19-M21),TRUE),2,1),"")</f>
        <v/>
      </c>
      <c r="S21" s="2">
        <f>IFERROR(INDEX(SORT('高校別サマリー'!A$2:C$19,ABS('高校別サマリー'!C$2:C$19-M21),TRUE),3,1),"")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>
        <f>IF(D22&lt;&gt;"",SUM(D22:H22),"")</f>
        <v/>
      </c>
      <c r="J22" s="2" t="n"/>
      <c r="K22" s="3">
        <f>IFERROR(VLOOKUP(C22,'中学校補正マスタ'!A:B,2,FALSE),"")</f>
        <v/>
      </c>
      <c r="L22" s="5">
        <f>IF(AND(I22&lt;&gt;"",K22&lt;&gt;""),I22*K22,"")</f>
        <v/>
      </c>
      <c r="M22" s="5">
        <f>IF(J22&lt;&gt;"",J22,IF(L22&lt;&gt;"",IFERROR(VLOOKUP(L22,'換算マスタ'!A:B,2,TRUE),""),""))</f>
        <v/>
      </c>
      <c r="N22" s="2" t="n"/>
      <c r="O22" s="5">
        <f>IFERROR(VLOOKUP(N22,'高校別サマリー'!A:C,3,FALSE),"")</f>
        <v/>
      </c>
      <c r="P22" s="2">
        <f>IF(OR(M22="",O22=""),"",IFS(M22&gt;=O22+3,"A判定（安全圏）",M22&gt;=O22+1,"B判定（合格圏）",M22&gt;=O22-1,"C判定（ボーダー）",M22&gt;=O22-3,"D判定（努力圏）",TRUE,"E判定（要再考）"))</f>
        <v/>
      </c>
      <c r="Q22" s="2">
        <f>IFERROR(INDEX(SORT('高校別サマリー'!A$2:C$19,ABS('高校別サマリー'!C$2:C$19-M22),TRUE),1,1),"")</f>
        <v/>
      </c>
      <c r="R22" s="2">
        <f>IFERROR(INDEX(SORT('高校別サマリー'!A$2:C$19,ABS('高校別サマリー'!C$2:C$19-M22),TRUE),2,1),"")</f>
        <v/>
      </c>
      <c r="S22" s="2">
        <f>IFERROR(INDEX(SORT('高校別サマリー'!A$2:C$19,ABS('高校別サマリー'!C$2:C$19-M22),TRUE),3,1),"")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>
        <f>IF(D23&lt;&gt;"",SUM(D23:H23),"")</f>
        <v/>
      </c>
      <c r="J23" s="2" t="n"/>
      <c r="K23" s="3">
        <f>IFERROR(VLOOKUP(C23,'中学校補正マスタ'!A:B,2,FALSE),"")</f>
        <v/>
      </c>
      <c r="L23" s="5">
        <f>IF(AND(I23&lt;&gt;"",K23&lt;&gt;""),I23*K23,"")</f>
        <v/>
      </c>
      <c r="M23" s="5">
        <f>IF(J23&lt;&gt;"",J23,IF(L23&lt;&gt;"",IFERROR(VLOOKUP(L23,'換算マスタ'!A:B,2,TRUE),""),""))</f>
        <v/>
      </c>
      <c r="N23" s="2" t="n"/>
      <c r="O23" s="5">
        <f>IFERROR(VLOOKUP(N23,'高校別サマリー'!A:C,3,FALSE),"")</f>
        <v/>
      </c>
      <c r="P23" s="2">
        <f>IF(OR(M23="",O23=""),"",IFS(M23&gt;=O23+3,"A判定（安全圏）",M23&gt;=O23+1,"B判定（合格圏）",M23&gt;=O23-1,"C判定（ボーダー）",M23&gt;=O23-3,"D判定（努力圏）",TRUE,"E判定（要再考）"))</f>
        <v/>
      </c>
      <c r="Q23" s="2">
        <f>IFERROR(INDEX(SORT('高校別サマリー'!A$2:C$19,ABS('高校別サマリー'!C$2:C$19-M23),TRUE),1,1),"")</f>
        <v/>
      </c>
      <c r="R23" s="2">
        <f>IFERROR(INDEX(SORT('高校別サマリー'!A$2:C$19,ABS('高校別サマリー'!C$2:C$19-M23),TRUE),2,1),"")</f>
        <v/>
      </c>
      <c r="S23" s="2">
        <f>IFERROR(INDEX(SORT('高校別サマリー'!A$2:C$19,ABS('高校別サマリー'!C$2:C$19-M23),TRUE),3,1),"")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>
        <f>IF(D24&lt;&gt;"",SUM(D24:H24),"")</f>
        <v/>
      </c>
      <c r="J24" s="2" t="n"/>
      <c r="K24" s="3">
        <f>IFERROR(VLOOKUP(C24,'中学校補正マスタ'!A:B,2,FALSE),"")</f>
        <v/>
      </c>
      <c r="L24" s="5">
        <f>IF(AND(I24&lt;&gt;"",K24&lt;&gt;""),I24*K24,"")</f>
        <v/>
      </c>
      <c r="M24" s="5">
        <f>IF(J24&lt;&gt;"",J24,IF(L24&lt;&gt;"",IFERROR(VLOOKUP(L24,'換算マスタ'!A:B,2,TRUE),""),""))</f>
        <v/>
      </c>
      <c r="N24" s="2" t="n"/>
      <c r="O24" s="5">
        <f>IFERROR(VLOOKUP(N24,'高校別サマリー'!A:C,3,FALSE),"")</f>
        <v/>
      </c>
      <c r="P24" s="2">
        <f>IF(OR(M24="",O24=""),"",IFS(M24&gt;=O24+3,"A判定（安全圏）",M24&gt;=O24+1,"B判定（合格圏）",M24&gt;=O24-1,"C判定（ボーダー）",M24&gt;=O24-3,"D判定（努力圏）",TRUE,"E判定（要再考）"))</f>
        <v/>
      </c>
      <c r="Q24" s="2">
        <f>IFERROR(INDEX(SORT('高校別サマリー'!A$2:C$19,ABS('高校別サマリー'!C$2:C$19-M24),TRUE),1,1),"")</f>
        <v/>
      </c>
      <c r="R24" s="2">
        <f>IFERROR(INDEX(SORT('高校別サマリー'!A$2:C$19,ABS('高校別サマリー'!C$2:C$19-M24),TRUE),2,1),"")</f>
        <v/>
      </c>
      <c r="S24" s="2">
        <f>IFERROR(INDEX(SORT('高校別サマリー'!A$2:C$19,ABS('高校別サマリー'!C$2:C$19-M24),TRUE),3,1),"")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>
        <f>IF(D25&lt;&gt;"",SUM(D25:H25),"")</f>
        <v/>
      </c>
      <c r="J25" s="2" t="n"/>
      <c r="K25" s="3">
        <f>IFERROR(VLOOKUP(C25,'中学校補正マスタ'!A:B,2,FALSE),"")</f>
        <v/>
      </c>
      <c r="L25" s="5">
        <f>IF(AND(I25&lt;&gt;"",K25&lt;&gt;""),I25*K25,"")</f>
        <v/>
      </c>
      <c r="M25" s="5">
        <f>IF(J25&lt;&gt;"",J25,IF(L25&lt;&gt;"",IFERROR(VLOOKUP(L25,'換算マスタ'!A:B,2,TRUE),""),""))</f>
        <v/>
      </c>
      <c r="N25" s="2" t="n"/>
      <c r="O25" s="5">
        <f>IFERROR(VLOOKUP(N25,'高校別サマリー'!A:C,3,FALSE),"")</f>
        <v/>
      </c>
      <c r="P25" s="2">
        <f>IF(OR(M25="",O25=""),"",IFS(M25&gt;=O25+3,"A判定（安全圏）",M25&gt;=O25+1,"B判定（合格圏）",M25&gt;=O25-1,"C判定（ボーダー）",M25&gt;=O25-3,"D判定（努力圏）",TRUE,"E判定（要再考）"))</f>
        <v/>
      </c>
      <c r="Q25" s="2">
        <f>IFERROR(INDEX(SORT('高校別サマリー'!A$2:C$19,ABS('高校別サマリー'!C$2:C$19-M25),TRUE),1,1),"")</f>
        <v/>
      </c>
      <c r="R25" s="2">
        <f>IFERROR(INDEX(SORT('高校別サマリー'!A$2:C$19,ABS('高校別サマリー'!C$2:C$19-M25),TRUE),2,1),"")</f>
        <v/>
      </c>
      <c r="S25" s="2">
        <f>IFERROR(INDEX(SORT('高校別サマリー'!A$2:C$19,ABS('高校別サマリー'!C$2:C$19-M25),TRUE),3,1),"")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>
        <f>IF(D26&lt;&gt;"",SUM(D26:H26),"")</f>
        <v/>
      </c>
      <c r="J26" s="2" t="n"/>
      <c r="K26" s="3">
        <f>IFERROR(VLOOKUP(C26,'中学校補正マスタ'!A:B,2,FALSE),"")</f>
        <v/>
      </c>
      <c r="L26" s="5">
        <f>IF(AND(I26&lt;&gt;"",K26&lt;&gt;""),I26*K26,"")</f>
        <v/>
      </c>
      <c r="M26" s="5">
        <f>IF(J26&lt;&gt;"",J26,IF(L26&lt;&gt;"",IFERROR(VLOOKUP(L26,'換算マスタ'!A:B,2,TRUE),""),""))</f>
        <v/>
      </c>
      <c r="N26" s="2" t="n"/>
      <c r="O26" s="5">
        <f>IFERROR(VLOOKUP(N26,'高校別サマリー'!A:C,3,FALSE),"")</f>
        <v/>
      </c>
      <c r="P26" s="2">
        <f>IF(OR(M26="",O26=""),"",IFS(M26&gt;=O26+3,"A判定（安全圏）",M26&gt;=O26+1,"B判定（合格圏）",M26&gt;=O26-1,"C判定（ボーダー）",M26&gt;=O26-3,"D判定（努力圏）",TRUE,"E判定（要再考）"))</f>
        <v/>
      </c>
      <c r="Q26" s="2">
        <f>IFERROR(INDEX(SORT('高校別サマリー'!A$2:C$19,ABS('高校別サマリー'!C$2:C$19-M26),TRUE),1,1),"")</f>
        <v/>
      </c>
      <c r="R26" s="2">
        <f>IFERROR(INDEX(SORT('高校別サマリー'!A$2:C$19,ABS('高校別サマリー'!C$2:C$19-M26),TRUE),2,1),"")</f>
        <v/>
      </c>
      <c r="S26" s="2">
        <f>IFERROR(INDEX(SORT('高校別サマリー'!A$2:C$19,ABS('高校別サマリー'!C$2:C$19-M26),TRUE),3,1),"")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>
        <f>IF(D27&lt;&gt;"",SUM(D27:H27),"")</f>
        <v/>
      </c>
      <c r="J27" s="2" t="n"/>
      <c r="K27" s="3">
        <f>IFERROR(VLOOKUP(C27,'中学校補正マスタ'!A:B,2,FALSE),"")</f>
        <v/>
      </c>
      <c r="L27" s="5">
        <f>IF(AND(I27&lt;&gt;"",K27&lt;&gt;""),I27*K27,"")</f>
        <v/>
      </c>
      <c r="M27" s="5">
        <f>IF(J27&lt;&gt;"",J27,IF(L27&lt;&gt;"",IFERROR(VLOOKUP(L27,'換算マスタ'!A:B,2,TRUE),""),""))</f>
        <v/>
      </c>
      <c r="N27" s="2" t="n"/>
      <c r="O27" s="5">
        <f>IFERROR(VLOOKUP(N27,'高校別サマリー'!A:C,3,FALSE),"")</f>
        <v/>
      </c>
      <c r="P27" s="2">
        <f>IF(OR(M27="",O27=""),"",IFS(M27&gt;=O27+3,"A判定（安全圏）",M27&gt;=O27+1,"B判定（合格圏）",M27&gt;=O27-1,"C判定（ボーダー）",M27&gt;=O27-3,"D判定（努力圏）",TRUE,"E判定（要再考）"))</f>
        <v/>
      </c>
      <c r="Q27" s="2">
        <f>IFERROR(INDEX(SORT('高校別サマリー'!A$2:C$19,ABS('高校別サマリー'!C$2:C$19-M27),TRUE),1,1),"")</f>
        <v/>
      </c>
      <c r="R27" s="2">
        <f>IFERROR(INDEX(SORT('高校別サマリー'!A$2:C$19,ABS('高校別サマリー'!C$2:C$19-M27),TRUE),2,1),"")</f>
        <v/>
      </c>
      <c r="S27" s="2">
        <f>IFERROR(INDEX(SORT('高校別サマリー'!A$2:C$19,ABS('高校別サマリー'!C$2:C$19-M27),TRUE),3,1),"")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>
        <f>IF(D28&lt;&gt;"",SUM(D28:H28),"")</f>
        <v/>
      </c>
      <c r="J28" s="2" t="n"/>
      <c r="K28" s="3">
        <f>IFERROR(VLOOKUP(C28,'中学校補正マスタ'!A:B,2,FALSE),"")</f>
        <v/>
      </c>
      <c r="L28" s="5">
        <f>IF(AND(I28&lt;&gt;"",K28&lt;&gt;""),I28*K28,"")</f>
        <v/>
      </c>
      <c r="M28" s="5">
        <f>IF(J28&lt;&gt;"",J28,IF(L28&lt;&gt;"",IFERROR(VLOOKUP(L28,'換算マスタ'!A:B,2,TRUE),""),""))</f>
        <v/>
      </c>
      <c r="N28" s="2" t="n"/>
      <c r="O28" s="5">
        <f>IFERROR(VLOOKUP(N28,'高校別サマリー'!A:C,3,FALSE),"")</f>
        <v/>
      </c>
      <c r="P28" s="2">
        <f>IF(OR(M28="",O28=""),"",IFS(M28&gt;=O28+3,"A判定（安全圏）",M28&gt;=O28+1,"B判定（合格圏）",M28&gt;=O28-1,"C判定（ボーダー）",M28&gt;=O28-3,"D判定（努力圏）",TRUE,"E判定（要再考）"))</f>
        <v/>
      </c>
      <c r="Q28" s="2">
        <f>IFERROR(INDEX(SORT('高校別サマリー'!A$2:C$19,ABS('高校別サマリー'!C$2:C$19-M28),TRUE),1,1),"")</f>
        <v/>
      </c>
      <c r="R28" s="2">
        <f>IFERROR(INDEX(SORT('高校別サマリー'!A$2:C$19,ABS('高校別サマリー'!C$2:C$19-M28),TRUE),2,1),"")</f>
        <v/>
      </c>
      <c r="S28" s="2">
        <f>IFERROR(INDEX(SORT('高校別サマリー'!A$2:C$19,ABS('高校別サマリー'!C$2:C$19-M28),TRUE),3,1),"")</f>
        <v/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>
        <f>IF(D29&lt;&gt;"",SUM(D29:H29),"")</f>
        <v/>
      </c>
      <c r="J29" s="2" t="n"/>
      <c r="K29" s="3">
        <f>IFERROR(VLOOKUP(C29,'中学校補正マスタ'!A:B,2,FALSE),"")</f>
        <v/>
      </c>
      <c r="L29" s="5">
        <f>IF(AND(I29&lt;&gt;"",K29&lt;&gt;""),I29*K29,"")</f>
        <v/>
      </c>
      <c r="M29" s="5">
        <f>IF(J29&lt;&gt;"",J29,IF(L29&lt;&gt;"",IFERROR(VLOOKUP(L29,'換算マスタ'!A:B,2,TRUE),""),""))</f>
        <v/>
      </c>
      <c r="N29" s="2" t="n"/>
      <c r="O29" s="5">
        <f>IFERROR(VLOOKUP(N29,'高校別サマリー'!A:C,3,FALSE),"")</f>
        <v/>
      </c>
      <c r="P29" s="2">
        <f>IF(OR(M29="",O29=""),"",IFS(M29&gt;=O29+3,"A判定（安全圏）",M29&gt;=O29+1,"B判定（合格圏）",M29&gt;=O29-1,"C判定（ボーダー）",M29&gt;=O29-3,"D判定（努力圏）",TRUE,"E判定（要再考）"))</f>
        <v/>
      </c>
      <c r="Q29" s="2">
        <f>IFERROR(INDEX(SORT('高校別サマリー'!A$2:C$19,ABS('高校別サマリー'!C$2:C$19-M29),TRUE),1,1),"")</f>
        <v/>
      </c>
      <c r="R29" s="2">
        <f>IFERROR(INDEX(SORT('高校別サマリー'!A$2:C$19,ABS('高校別サマリー'!C$2:C$19-M29),TRUE),2,1),"")</f>
        <v/>
      </c>
      <c r="S29" s="2">
        <f>IFERROR(INDEX(SORT('高校別サマリー'!A$2:C$19,ABS('高校別サマリー'!C$2:C$19-M29),TRUE),3,1),"")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>
        <f>IF(D30&lt;&gt;"",SUM(D30:H30),"")</f>
        <v/>
      </c>
      <c r="J30" s="2" t="n"/>
      <c r="K30" s="3">
        <f>IFERROR(VLOOKUP(C30,'中学校補正マスタ'!A:B,2,FALSE),"")</f>
        <v/>
      </c>
      <c r="L30" s="5">
        <f>IF(AND(I30&lt;&gt;"",K30&lt;&gt;""),I30*K30,"")</f>
        <v/>
      </c>
      <c r="M30" s="5">
        <f>IF(J30&lt;&gt;"",J30,IF(L30&lt;&gt;"",IFERROR(VLOOKUP(L30,'換算マスタ'!A:B,2,TRUE),""),""))</f>
        <v/>
      </c>
      <c r="N30" s="2" t="n"/>
      <c r="O30" s="5">
        <f>IFERROR(VLOOKUP(N30,'高校別サマリー'!A:C,3,FALSE),"")</f>
        <v/>
      </c>
      <c r="P30" s="2">
        <f>IF(OR(M30="",O30=""),"",IFS(M30&gt;=O30+3,"A判定（安全圏）",M30&gt;=O30+1,"B判定（合格圏）",M30&gt;=O30-1,"C判定（ボーダー）",M30&gt;=O30-3,"D判定（努力圏）",TRUE,"E判定（要再考）"))</f>
        <v/>
      </c>
      <c r="Q30" s="2">
        <f>IFERROR(INDEX(SORT('高校別サマリー'!A$2:C$19,ABS('高校別サマリー'!C$2:C$19-M30),TRUE),1,1),"")</f>
        <v/>
      </c>
      <c r="R30" s="2">
        <f>IFERROR(INDEX(SORT('高校別サマリー'!A$2:C$19,ABS('高校別サマリー'!C$2:C$19-M30),TRUE),2,1),"")</f>
        <v/>
      </c>
      <c r="S30" s="2">
        <f>IFERROR(INDEX(SORT('高校別サマリー'!A$2:C$19,ABS('高校別サマリー'!C$2:C$19-M30),TRUE),3,1),"")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>
        <f>IF(D31&lt;&gt;"",SUM(D31:H31),"")</f>
        <v/>
      </c>
      <c r="J31" s="2" t="n"/>
      <c r="K31" s="3">
        <f>IFERROR(VLOOKUP(C31,'中学校補正マスタ'!A:B,2,FALSE),"")</f>
        <v/>
      </c>
      <c r="L31" s="5">
        <f>IF(AND(I31&lt;&gt;"",K31&lt;&gt;""),I31*K31,"")</f>
        <v/>
      </c>
      <c r="M31" s="5">
        <f>IF(J31&lt;&gt;"",J31,IF(L31&lt;&gt;"",IFERROR(VLOOKUP(L31,'換算マスタ'!A:B,2,TRUE),""),""))</f>
        <v/>
      </c>
      <c r="N31" s="2" t="n"/>
      <c r="O31" s="5">
        <f>IFERROR(VLOOKUP(N31,'高校別サマリー'!A:C,3,FALSE),"")</f>
        <v/>
      </c>
      <c r="P31" s="2">
        <f>IF(OR(M31="",O31=""),"",IFS(M31&gt;=O31+3,"A判定（安全圏）",M31&gt;=O31+1,"B判定（合格圏）",M31&gt;=O31-1,"C判定（ボーダー）",M31&gt;=O31-3,"D判定（努力圏）",TRUE,"E判定（要再考）"))</f>
        <v/>
      </c>
      <c r="Q31" s="2">
        <f>IFERROR(INDEX(SORT('高校別サマリー'!A$2:C$19,ABS('高校別サマリー'!C$2:C$19-M31),TRUE),1,1),"")</f>
        <v/>
      </c>
      <c r="R31" s="2">
        <f>IFERROR(INDEX(SORT('高校別サマリー'!A$2:C$19,ABS('高校別サマリー'!C$2:C$19-M31),TRUE),2,1),"")</f>
        <v/>
      </c>
      <c r="S31" s="2">
        <f>IFERROR(INDEX(SORT('高校別サマリー'!A$2:C$19,ABS('高校別サマリー'!C$2:C$19-M31),TRUE),3,1),"")</f>
        <v/>
      </c>
    </row>
  </sheetData>
  <conditionalFormatting sqref="P2:P31">
    <cfRule type="expression" priority="1" dxfId="0">
      <formula>NOT(ISERROR(SEARCH("A判定",P2)))</formula>
    </cfRule>
    <cfRule type="expression" priority="2" dxfId="1">
      <formula>NOT(ISERROR(SEARCH("B判定",P2)))</formula>
    </cfRule>
    <cfRule type="expression" priority="3" dxfId="2">
      <formula>NOT(ISERROR(SEARCH("C判定",P2)))</formula>
    </cfRule>
    <cfRule type="expression" priority="4" dxfId="3">
      <formula>NOT(ISERROR(SEARCH("D判定",P2)))</formula>
    </cfRule>
    <cfRule type="expression" priority="5" dxfId="4">
      <formula>NOT(ISERROR(SEARCH("E判定",P2)))</formula>
    </cfRule>
  </conditionalFormatting>
  <dataValidations count="5">
    <dataValidation sqref="B2:B31" showDropDown="0" showInputMessage="0" showErrorMessage="0" allowBlank="1" errorTitle="入力エラー" error="中1/中2/中3 から選択してください" promptTitle="学年" prompt="学年を選択" type="list">
      <formula1>"中1,中2,中3"</formula1>
    </dataValidation>
    <dataValidation sqref="C2:C31" showDropDown="0" showInputMessage="0" showErrorMessage="0" allowBlank="1" errorTitle="入力エラー" error="中学校補正マスタに登録された中学校名から選択してください" promptTitle="中学校" prompt="中学校名を選択" type="list">
      <formula1>'中学校補正マスタ'!$A$2:$A$9</formula1>
    </dataValidation>
    <dataValidation sqref="D2:H31" showDropDown="0" showInputMessage="0" showErrorMessage="0" allowBlank="1" errorTitle="入力エラー" error="0〜100の整数を入力してください" promptTitle="点数" prompt="0〜100の点数を入力" type="whole" operator="between">
      <formula1>0</formula1>
      <formula2>100</formula2>
    </dataValidation>
    <dataValidation sqref="J2:J31" showDropDown="0" showInputMessage="0" showErrorMessage="0" allowBlank="1" errorTitle="入力エラー" error="20〜80の数値を入力してください" promptTitle="偏差値" prompt="Vもし偏差値を入力（空欄可）" type="decimal" operator="between">
      <formula1>20</formula1>
      <formula2>80</formula2>
    </dataValidation>
    <dataValidation sqref="N2:N31" showDropDown="0" showInputMessage="0" showErrorMessage="0" allowBlank="1" errorTitle="入力エラー" error="高校別サマリーに登録された高校名から選択してください" promptTitle="志望校" prompt="志望校を選択" type="list">
      <formula1>'高校別サマリー'!$A$2:$A$19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4" customWidth="1" min="11" max="11"/>
    <col width="16" customWidth="1" min="12" max="12"/>
    <col width="30" customWidth="1" min="13" max="13"/>
  </cols>
  <sheetData>
    <row r="1">
      <c r="A1" s="1" t="inlineStr">
        <is>
          <t>生徒名</t>
        </is>
      </c>
      <c r="B1" s="1" t="inlineStr">
        <is>
          <t>学年</t>
        </is>
      </c>
      <c r="C1" s="1" t="inlineStr">
        <is>
          <t>中学校名</t>
        </is>
      </c>
      <c r="D1" s="1" t="inlineStr">
        <is>
          <t>データ種別</t>
        </is>
      </c>
      <c r="E1" s="1" t="inlineStr">
        <is>
          <t>国語</t>
        </is>
      </c>
      <c r="F1" s="1" t="inlineStr">
        <is>
          <t>数学</t>
        </is>
      </c>
      <c r="G1" s="1" t="inlineStr">
        <is>
          <t>英語</t>
        </is>
      </c>
      <c r="H1" s="1" t="inlineStr">
        <is>
          <t>理科</t>
        </is>
      </c>
      <c r="I1" s="1" t="inlineStr">
        <is>
          <t>社会</t>
        </is>
      </c>
      <c r="J1" s="1" t="inlineStr">
        <is>
          <t>5科合計</t>
        </is>
      </c>
      <c r="K1" s="1" t="inlineStr">
        <is>
          <t>Vもし偏差値</t>
        </is>
      </c>
      <c r="L1" s="1" t="inlineStr">
        <is>
          <t>テスト回/年度</t>
        </is>
      </c>
      <c r="M1" s="1" t="inlineStr">
        <is>
          <t>読取元ファイル名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>
        <f>IF(E2&lt;&gt;"",SUM(E2:I2),"")</f>
        <v/>
      </c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>
        <f>IF(E3&lt;&gt;"",SUM(E3:I3),"")</f>
        <v/>
      </c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>
        <f>IF(E4&lt;&gt;"",SUM(E4:I4),"")</f>
        <v/>
      </c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>
        <f>IF(E5&lt;&gt;"",SUM(E5:I5),"")</f>
        <v/>
      </c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>
        <f>IF(E6&lt;&gt;"",SUM(E6:I6),"")</f>
        <v/>
      </c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>
        <f>IF(E7&lt;&gt;"",SUM(E7:I7),"")</f>
        <v/>
      </c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>
        <f>IF(E8&lt;&gt;"",SUM(E8:I8),"")</f>
        <v/>
      </c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>
        <f>IF(E9&lt;&gt;"",SUM(E9:I9),"")</f>
        <v/>
      </c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>
        <f>IF(E10&lt;&gt;"",SUM(E10:I10),"")</f>
        <v/>
      </c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>
        <f>IF(E11&lt;&gt;"",SUM(E11:I11),"")</f>
        <v/>
      </c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>
        <f>IF(E12&lt;&gt;"",SUM(E12:I12),"")</f>
        <v/>
      </c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>
        <f>IF(E13&lt;&gt;"",SUM(E13:I13),"")</f>
        <v/>
      </c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>
        <f>IF(E14&lt;&gt;"",SUM(E14:I14),"")</f>
        <v/>
      </c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>
        <f>IF(E15&lt;&gt;"",SUM(E15:I15),"")</f>
        <v/>
      </c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>
        <f>IF(E16&lt;&gt;"",SUM(E16:I16),"")</f>
        <v/>
      </c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>
        <f>IF(E17&lt;&gt;"",SUM(E17:I17),"")</f>
        <v/>
      </c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>
        <f>IF(E18&lt;&gt;"",SUM(E18:I18),"")</f>
        <v/>
      </c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>
        <f>IF(E19&lt;&gt;"",SUM(E19:I19),"")</f>
        <v/>
      </c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>
        <f>IF(E20&lt;&gt;"",SUM(E20:I20),"")</f>
        <v/>
      </c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>
        <f>IF(E21&lt;&gt;"",SUM(E21:I21),"")</f>
        <v/>
      </c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>
        <f>IF(E22&lt;&gt;"",SUM(E22:I22),"")</f>
        <v/>
      </c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>
        <f>IF(E23&lt;&gt;"",SUM(E23:I23),"")</f>
        <v/>
      </c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>
        <f>IF(E24&lt;&gt;"",SUM(E24:I24),"")</f>
        <v/>
      </c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>
        <f>IF(E25&lt;&gt;"",SUM(E25:I25),"")</f>
        <v/>
      </c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>
        <f>IF(E26&lt;&gt;"",SUM(E26:I26),"")</f>
        <v/>
      </c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>
        <f>IF(E27&lt;&gt;"",SUM(E27:I27),"")</f>
        <v/>
      </c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>
        <f>IF(E28&lt;&gt;"",SUM(E28:I28),"")</f>
        <v/>
      </c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>
        <f>IF(E29&lt;&gt;"",SUM(E29:I29),"")</f>
        <v/>
      </c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>
        <f>IF(E30&lt;&gt;"",SUM(E30:I30),"")</f>
        <v/>
      </c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>
        <f>IF(E31&lt;&gt;"",SUM(E31:I31),"")</f>
        <v/>
      </c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>
        <f>IF(E32&lt;&gt;"",SUM(E32:I32),"")</f>
        <v/>
      </c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>
        <f>IF(E33&lt;&gt;"",SUM(E33:I33),"")</f>
        <v/>
      </c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>
        <f>IF(E34&lt;&gt;"",SUM(E34:I34),"")</f>
        <v/>
      </c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>
        <f>IF(E35&lt;&gt;"",SUM(E35:I35),"")</f>
        <v/>
      </c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>
        <f>IF(E36&lt;&gt;"",SUM(E36:I36),"")</f>
        <v/>
      </c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>
        <f>IF(E37&lt;&gt;"",SUM(E37:I37),"")</f>
        <v/>
      </c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>
        <f>IF(E38&lt;&gt;"",SUM(E38:I38),"")</f>
        <v/>
      </c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>
        <f>IF(E39&lt;&gt;"",SUM(E39:I39),"")</f>
        <v/>
      </c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>
        <f>IF(E40&lt;&gt;"",SUM(E40:I40),"")</f>
        <v/>
      </c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>
        <f>IF(E41&lt;&gt;"",SUM(E41:I41),"")</f>
        <v/>
      </c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>
        <f>IF(E42&lt;&gt;"",SUM(E42:I42),"")</f>
        <v/>
      </c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>
        <f>IF(E43&lt;&gt;"",SUM(E43:I43),"")</f>
        <v/>
      </c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>
        <f>IF(E44&lt;&gt;"",SUM(E44:I44),"")</f>
        <v/>
      </c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>
        <f>IF(E45&lt;&gt;"",SUM(E45:I45),"")</f>
        <v/>
      </c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>
        <f>IF(E46&lt;&gt;"",SUM(E46:I46),"")</f>
        <v/>
      </c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>
        <f>IF(E47&lt;&gt;"",SUM(E47:I47),"")</f>
        <v/>
      </c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>
        <f>IF(E48&lt;&gt;"",SUM(E48:I48),"")</f>
        <v/>
      </c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>
        <f>IF(E49&lt;&gt;"",SUM(E49:I49),"")</f>
        <v/>
      </c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>
        <f>IF(E50&lt;&gt;"",SUM(E50:I50),"")</f>
        <v/>
      </c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>
        <f>IF(E51&lt;&gt;"",SUM(E51:I51),"")</f>
        <v/>
      </c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>
        <f>IF(E52&lt;&gt;"",SUM(E52:I52),"")</f>
        <v/>
      </c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>
        <f>IF(E53&lt;&gt;"",SUM(E53:I53),"")</f>
        <v/>
      </c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>
        <f>IF(E54&lt;&gt;"",SUM(E54:I54),"")</f>
        <v/>
      </c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>
        <f>IF(E55&lt;&gt;"",SUM(E55:I55),"")</f>
        <v/>
      </c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>
        <f>IF(E56&lt;&gt;"",SUM(E56:I56),"")</f>
        <v/>
      </c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>
        <f>IF(E57&lt;&gt;"",SUM(E57:I57),"")</f>
        <v/>
      </c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>
        <f>IF(E58&lt;&gt;"",SUM(E58:I58),"")</f>
        <v/>
      </c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>
        <f>IF(E59&lt;&gt;"",SUM(E59:I59),"")</f>
        <v/>
      </c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>
        <f>IF(E60&lt;&gt;"",SUM(E60:I60),"")</f>
        <v/>
      </c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>
        <f>IF(E61&lt;&gt;"",SUM(E61:I61),"")</f>
        <v/>
      </c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>
        <f>IF(E62&lt;&gt;"",SUM(E62:I62),"")</f>
        <v/>
      </c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>
        <f>IF(E63&lt;&gt;"",SUM(E63:I63),"")</f>
        <v/>
      </c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>
        <f>IF(E64&lt;&gt;"",SUM(E64:I64),"")</f>
        <v/>
      </c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>
        <f>IF(E65&lt;&gt;"",SUM(E65:I65),"")</f>
        <v/>
      </c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>
        <f>IF(E66&lt;&gt;"",SUM(E66:I66),"")</f>
        <v/>
      </c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>
        <f>IF(E67&lt;&gt;"",SUM(E67:I67),"")</f>
        <v/>
      </c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>
        <f>IF(E68&lt;&gt;"",SUM(E68:I68),"")</f>
        <v/>
      </c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>
        <f>IF(E69&lt;&gt;"",SUM(E69:I69),"")</f>
        <v/>
      </c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>
        <f>IF(E70&lt;&gt;"",SUM(E70:I70),"")</f>
        <v/>
      </c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>
        <f>IF(E71&lt;&gt;"",SUM(E71:I71),"")</f>
        <v/>
      </c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>
        <f>IF(E72&lt;&gt;"",SUM(E72:I72),"")</f>
        <v/>
      </c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>
        <f>IF(E73&lt;&gt;"",SUM(E73:I73),"")</f>
        <v/>
      </c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>
        <f>IF(E74&lt;&gt;"",SUM(E74:I74),"")</f>
        <v/>
      </c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>
        <f>IF(E75&lt;&gt;"",SUM(E75:I75),"")</f>
        <v/>
      </c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>
        <f>IF(E76&lt;&gt;"",SUM(E76:I76),"")</f>
        <v/>
      </c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>
        <f>IF(E77&lt;&gt;"",SUM(E77:I77),"")</f>
        <v/>
      </c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>
        <f>IF(E78&lt;&gt;"",SUM(E78:I78),"")</f>
        <v/>
      </c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>
        <f>IF(E79&lt;&gt;"",SUM(E79:I79),"")</f>
        <v/>
      </c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>
        <f>IF(E80&lt;&gt;"",SUM(E80:I80),"")</f>
        <v/>
      </c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>
        <f>IF(E81&lt;&gt;"",SUM(E81:I81),"")</f>
        <v/>
      </c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>
        <f>IF(E82&lt;&gt;"",SUM(E82:I82),"")</f>
        <v/>
      </c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>
        <f>IF(E83&lt;&gt;"",SUM(E83:I83),"")</f>
        <v/>
      </c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>
        <f>IF(E84&lt;&gt;"",SUM(E84:I84),"")</f>
        <v/>
      </c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>
        <f>IF(E85&lt;&gt;"",SUM(E85:I85),"")</f>
        <v/>
      </c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>
        <f>IF(E86&lt;&gt;"",SUM(E86:I86),"")</f>
        <v/>
      </c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>
        <f>IF(E87&lt;&gt;"",SUM(E87:I87),"")</f>
        <v/>
      </c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>
        <f>IF(E88&lt;&gt;"",SUM(E88:I88),"")</f>
        <v/>
      </c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>
        <f>IF(E89&lt;&gt;"",SUM(E89:I89),"")</f>
        <v/>
      </c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>
        <f>IF(E90&lt;&gt;"",SUM(E90:I90),"")</f>
        <v/>
      </c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>
        <f>IF(E91&lt;&gt;"",SUM(E91:I91),"")</f>
        <v/>
      </c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>
        <f>IF(E92&lt;&gt;"",SUM(E92:I92),"")</f>
        <v/>
      </c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>
        <f>IF(E93&lt;&gt;"",SUM(E93:I93),"")</f>
        <v/>
      </c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>
        <f>IF(E94&lt;&gt;"",SUM(E94:I94),"")</f>
        <v/>
      </c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>
        <f>IF(E95&lt;&gt;"",SUM(E95:I95),"")</f>
        <v/>
      </c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>
        <f>IF(E96&lt;&gt;"",SUM(E96:I96),"")</f>
        <v/>
      </c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>
        <f>IF(E97&lt;&gt;"",SUM(E97:I97),"")</f>
        <v/>
      </c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>
        <f>IF(E98&lt;&gt;"",SUM(E98:I98),"")</f>
        <v/>
      </c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>
        <f>IF(E99&lt;&gt;"",SUM(E99:I99),"")</f>
        <v/>
      </c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>
        <f>IF(E100&lt;&gt;"",SUM(E100:I100),"")</f>
        <v/>
      </c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>
        <f>IF(E101&lt;&gt;"",SUM(E101:I101),"")</f>
        <v/>
      </c>
      <c r="K101" s="2" t="n"/>
      <c r="L101" s="2" t="n"/>
      <c r="M101" s="2" t="n"/>
    </row>
  </sheetData>
  <dataValidations count="2">
    <dataValidation sqref="D2:D101" showDropDown="0" showInputMessage="0" showErrorMessage="0" allowBlank="1" errorTitle="入力エラー" error="リストからデータ種別を選択してください" type="list">
      <formula1>"定期テスト,Vもし,進研Sテスト,実力テスト,その他"</formula1>
    </dataValidation>
    <dataValidation sqref="C2:C101" showDropDown="0" showInputMessage="0" showErrorMessage="0" allowBlank="1" type="list">
      <formula1>'中学校補正マスタ'!$A$2:$A$9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2026-04-16T04:57:58Z</dcterms:created>
  <dcterms:modified xsi:type="dcterms:W3CDTF">2026-04-16T04:57:58Z</dcterms:modified>
</cp:coreProperties>
</file>